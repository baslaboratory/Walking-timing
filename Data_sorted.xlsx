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ancaenegem\Documents\Doctorat\8.Mémoires master\Marche\Data_Analyse_Walk_R\"/>
    </mc:Choice>
  </mc:AlternateContent>
  <xr:revisionPtr revIDLastSave="0" documentId="13_ncr:1_{33143DF2-CBB9-4DEE-A1D2-E73BFD1EF53B}" xr6:coauthVersionLast="47" xr6:coauthVersionMax="47" xr10:uidLastSave="{00000000-0000-0000-0000-000000000000}"/>
  <bookViews>
    <workbookView xWindow="0" yWindow="100" windowWidth="19380" windowHeight="11180" xr2:uid="{39358E39-EE7A-411E-9669-876B819D7DEF}"/>
  </bookViews>
  <sheets>
    <sheet name="Données Brutes" sheetId="1" r:id="rId1"/>
    <sheet name="Graph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1" l="1"/>
  <c r="P14" i="1"/>
  <c r="P13" i="1"/>
  <c r="P12" i="1"/>
  <c r="P11" i="1"/>
  <c r="P10" i="1"/>
  <c r="P9" i="1"/>
  <c r="P8" i="1"/>
  <c r="P7" i="1"/>
  <c r="P6" i="1"/>
  <c r="M31" i="1"/>
  <c r="L31" i="1"/>
  <c r="K31" i="1"/>
  <c r="M30" i="1"/>
  <c r="L30" i="1"/>
  <c r="K30" i="1"/>
  <c r="M29" i="1"/>
  <c r="L29" i="1"/>
  <c r="K29" i="1"/>
  <c r="M28" i="1"/>
  <c r="L28" i="1"/>
  <c r="K28" i="1"/>
  <c r="M27" i="1"/>
  <c r="L27" i="1"/>
  <c r="K27" i="1"/>
  <c r="M26" i="1"/>
  <c r="L26" i="1"/>
  <c r="K26" i="1"/>
  <c r="M25" i="1"/>
  <c r="L25" i="1"/>
  <c r="K25" i="1"/>
  <c r="M24" i="1"/>
  <c r="L24" i="1"/>
  <c r="K24" i="1"/>
  <c r="M23" i="1"/>
  <c r="L23" i="1"/>
  <c r="K23" i="1"/>
  <c r="M22" i="1"/>
  <c r="L22" i="1"/>
  <c r="K22" i="1"/>
  <c r="M21" i="1"/>
  <c r="L21" i="1"/>
  <c r="K21" i="1"/>
  <c r="M20" i="1"/>
  <c r="L20" i="1"/>
  <c r="K20" i="1"/>
  <c r="M19" i="1"/>
  <c r="L19" i="1"/>
  <c r="K19" i="1"/>
  <c r="M18" i="1"/>
  <c r="L18" i="1"/>
  <c r="K18" i="1"/>
  <c r="M17" i="1"/>
  <c r="L17" i="1"/>
  <c r="K17" i="1"/>
  <c r="M16" i="1"/>
  <c r="L16" i="1"/>
  <c r="K16" i="1"/>
  <c r="M15" i="1"/>
  <c r="L15" i="1"/>
  <c r="K15" i="1"/>
  <c r="M14" i="1"/>
  <c r="L14" i="1"/>
  <c r="K14" i="1"/>
  <c r="M13" i="1"/>
  <c r="L13" i="1"/>
  <c r="K13" i="1"/>
  <c r="M3" i="1"/>
  <c r="M4" i="1"/>
  <c r="M5" i="1"/>
  <c r="M6" i="1"/>
  <c r="M7" i="1"/>
  <c r="M8" i="1"/>
  <c r="M9" i="1"/>
  <c r="M10" i="1"/>
  <c r="M11" i="1"/>
  <c r="M12" i="1"/>
  <c r="M2" i="1"/>
  <c r="L12" i="1"/>
  <c r="L3" i="1"/>
  <c r="L4" i="1"/>
  <c r="L5" i="1"/>
  <c r="L6" i="1"/>
  <c r="L7" i="1"/>
  <c r="L8" i="1"/>
  <c r="L9" i="1"/>
  <c r="L10" i="1"/>
  <c r="L11" i="1"/>
  <c r="L2" i="1"/>
  <c r="K2" i="1"/>
  <c r="K3" i="1"/>
  <c r="K4" i="1"/>
  <c r="K5" i="1"/>
  <c r="K6" i="1"/>
  <c r="K7" i="1"/>
  <c r="K8" i="1"/>
  <c r="K9" i="1"/>
  <c r="K10" i="1"/>
  <c r="K11" i="1"/>
  <c r="K12" i="1"/>
</calcChain>
</file>

<file path=xl/sharedStrings.xml><?xml version="1.0" encoding="utf-8"?>
<sst xmlns="http://schemas.openxmlformats.org/spreadsheetml/2006/main" count="84" uniqueCount="56">
  <si>
    <t>Participant</t>
  </si>
  <si>
    <t>ME_5m</t>
  </si>
  <si>
    <t>ME_10m</t>
  </si>
  <si>
    <t>ME_15m</t>
  </si>
  <si>
    <t>MI_5m</t>
  </si>
  <si>
    <t>MI_10m</t>
  </si>
  <si>
    <t>MI_15m</t>
  </si>
  <si>
    <t>Sexe</t>
  </si>
  <si>
    <t>Age</t>
  </si>
  <si>
    <t>MIQ_3</t>
  </si>
  <si>
    <t>F</t>
  </si>
  <si>
    <t>H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</si>
  <si>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</si>
  <si>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</si>
  <si>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</si>
  <si>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</si>
  <si>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</si>
  <si>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</si>
  <si>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</si>
  <si>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</si>
  <si>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</si>
  <si>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</si>
  <si>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</si>
  <si>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</si>
  <si>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</si>
  <si>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</si>
  <si>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</si>
  <si>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</si>
  <si>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</si>
  <si>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</si>
  <si>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</si>
  <si>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</si>
  <si>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</si>
  <si>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</si>
  <si>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</si>
  <si>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</si>
  <si>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</si>
  <si>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</si>
  <si>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</si>
  <si>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</si>
  <si>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</si>
  <si>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</si>
  <si>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Mean age</t>
  </si>
  <si>
    <t>Mean MIQ_3</t>
  </si>
  <si>
    <t>Ecart type MIQ_3</t>
  </si>
  <si>
    <t>Ecart type ME 5m</t>
  </si>
  <si>
    <t>Ecart type MI 5m</t>
  </si>
  <si>
    <t>Ecart type MI 10m</t>
  </si>
  <si>
    <t>Ecart type MI 15m</t>
  </si>
  <si>
    <t>Ecart type ME 10m</t>
  </si>
  <si>
    <t>Ecart type ME 15m</t>
  </si>
  <si>
    <t>Ecart type age</t>
  </si>
  <si>
    <t xml:space="preserve"> </t>
  </si>
  <si>
    <t>Diff_5m</t>
  </si>
  <si>
    <t>Diff_10m</t>
  </si>
  <si>
    <t>Diff_15m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</si>
</sst>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/>
              <a:t>5</a:t>
            </a:r>
            <a:r>
              <a:rPr lang="fr-BE" baseline="0"/>
              <a:t> m</a:t>
            </a:r>
            <a:endParaRPr lang="fr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'Données Brutes'!$E$1</c:f>
              <c:strCache>
                <c:ptCount val="1"/>
                <c:pt idx="0">
                  <c:v>ME_5m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'Données Brutes'!$E$2:$E$21</c:f>
              <c:numCache>
                <c:formatCode>General</c:formatCode>
                <c:ptCount val="20"/>
                <c:pt idx="0">
                  <c:v>4.1550000000000002</c:v>
                </c:pt>
                <c:pt idx="1">
                  <c:v>2.85</c:v>
                </c:pt>
                <c:pt idx="2">
                  <c:v>4.55</c:v>
                </c:pt>
                <c:pt idx="3">
                  <c:v>3.4820000000000002</c:v>
                </c:pt>
                <c:pt idx="4">
                  <c:v>3.4369999999999998</c:v>
                </c:pt>
                <c:pt idx="5">
                  <c:v>3.42</c:v>
                </c:pt>
                <c:pt idx="6">
                  <c:v>3.2469999999999999</c:v>
                </c:pt>
                <c:pt idx="7">
                  <c:v>3.27</c:v>
                </c:pt>
                <c:pt idx="8">
                  <c:v>3.9119999999999999</c:v>
                </c:pt>
                <c:pt idx="9">
                  <c:v>3.7229999999999999</c:v>
                </c:pt>
                <c:pt idx="10">
                  <c:v>3.2229999999999999</c:v>
                </c:pt>
                <c:pt idx="11">
                  <c:v>3.77</c:v>
                </c:pt>
                <c:pt idx="12">
                  <c:v>4.1900000000000004</c:v>
                </c:pt>
                <c:pt idx="13">
                  <c:v>5.36</c:v>
                </c:pt>
                <c:pt idx="14">
                  <c:v>3.59</c:v>
                </c:pt>
                <c:pt idx="15">
                  <c:v>4.8499999999999996</c:v>
                </c:pt>
                <c:pt idx="16">
                  <c:v>3.73</c:v>
                </c:pt>
                <c:pt idx="17">
                  <c:v>3.39</c:v>
                </c:pt>
                <c:pt idx="18">
                  <c:v>3.41</c:v>
                </c:pt>
                <c:pt idx="19">
                  <c:v>3.56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A-4B66-8EAB-F75EA2BD17B2}"/>
            </c:ext>
          </c:extLst>
        </c:ser>
        <c:ser>
          <c:idx val="1"/>
          <c:order val="1"/>
          <c:tx>
            <c:strRef>
              <c:f>'Données Brutes'!$F$1</c:f>
              <c:strCache>
                <c:ptCount val="1"/>
                <c:pt idx="0">
                  <c:v>MI_5m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'Données Brutes'!$F$2:$F$21</c:f>
              <c:numCache>
                <c:formatCode>General</c:formatCode>
                <c:ptCount val="20"/>
                <c:pt idx="0">
                  <c:v>4.2110000000000003</c:v>
                </c:pt>
                <c:pt idx="1">
                  <c:v>3.49</c:v>
                </c:pt>
                <c:pt idx="2">
                  <c:v>6.36</c:v>
                </c:pt>
                <c:pt idx="3">
                  <c:v>2.77</c:v>
                </c:pt>
                <c:pt idx="4">
                  <c:v>3.8290000000000002</c:v>
                </c:pt>
                <c:pt idx="5">
                  <c:v>2.78</c:v>
                </c:pt>
                <c:pt idx="6">
                  <c:v>3.3330000000000002</c:v>
                </c:pt>
                <c:pt idx="7">
                  <c:v>4.21</c:v>
                </c:pt>
                <c:pt idx="8">
                  <c:v>3.3460000000000001</c:v>
                </c:pt>
                <c:pt idx="9">
                  <c:v>3.9380000000000002</c:v>
                </c:pt>
                <c:pt idx="10">
                  <c:v>3.056</c:v>
                </c:pt>
                <c:pt idx="11">
                  <c:v>4.6500000000000004</c:v>
                </c:pt>
                <c:pt idx="12">
                  <c:v>4.72</c:v>
                </c:pt>
                <c:pt idx="13">
                  <c:v>5.98</c:v>
                </c:pt>
                <c:pt idx="14">
                  <c:v>3.25</c:v>
                </c:pt>
                <c:pt idx="15">
                  <c:v>6.68</c:v>
                </c:pt>
                <c:pt idx="16">
                  <c:v>3.92</c:v>
                </c:pt>
                <c:pt idx="17">
                  <c:v>2.79</c:v>
                </c:pt>
                <c:pt idx="18">
                  <c:v>4.16</c:v>
                </c:pt>
                <c:pt idx="19">
                  <c:v>4.21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DA-4B66-8EAB-F75EA2BD1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223935"/>
        <c:axId val="158227775"/>
      </c:barChart>
      <c:catAx>
        <c:axId val="158223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227775"/>
        <c:crosses val="autoZero"/>
        <c:auto val="1"/>
        <c:lblAlgn val="ctr"/>
        <c:lblOffset val="100"/>
        <c:noMultiLvlLbl val="0"/>
      </c:catAx>
      <c:valAx>
        <c:axId val="15822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22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/>
              <a:t>10 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'Données Brutes'!$G$1</c:f>
              <c:strCache>
                <c:ptCount val="1"/>
                <c:pt idx="0">
                  <c:v>ME_10m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'Données Brutes'!$G$2:$G$21</c:f>
              <c:numCache>
                <c:formatCode>General</c:formatCode>
                <c:ptCount val="20"/>
                <c:pt idx="0">
                  <c:v>8.23</c:v>
                </c:pt>
                <c:pt idx="1">
                  <c:v>6.7869999999999999</c:v>
                </c:pt>
                <c:pt idx="2">
                  <c:v>8</c:v>
                </c:pt>
                <c:pt idx="3">
                  <c:v>6.8869999999999996</c:v>
                </c:pt>
                <c:pt idx="4">
                  <c:v>6.7519999999999998</c:v>
                </c:pt>
                <c:pt idx="5">
                  <c:v>6.49</c:v>
                </c:pt>
                <c:pt idx="6">
                  <c:v>6.1280000000000001</c:v>
                </c:pt>
                <c:pt idx="7">
                  <c:v>6.35</c:v>
                </c:pt>
                <c:pt idx="8">
                  <c:v>7.3810000000000002</c:v>
                </c:pt>
                <c:pt idx="9">
                  <c:v>7.1440000000000001</c:v>
                </c:pt>
                <c:pt idx="10">
                  <c:v>6.1769999999999996</c:v>
                </c:pt>
                <c:pt idx="11">
                  <c:v>7.19</c:v>
                </c:pt>
                <c:pt idx="12">
                  <c:v>7.78</c:v>
                </c:pt>
                <c:pt idx="13">
                  <c:v>9.51</c:v>
                </c:pt>
                <c:pt idx="14">
                  <c:v>6.56</c:v>
                </c:pt>
                <c:pt idx="15">
                  <c:v>9.44</c:v>
                </c:pt>
                <c:pt idx="16">
                  <c:v>6.91</c:v>
                </c:pt>
                <c:pt idx="17">
                  <c:v>6.86</c:v>
                </c:pt>
                <c:pt idx="18">
                  <c:v>6.49</c:v>
                </c:pt>
                <c:pt idx="19">
                  <c:v>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9-4B9F-AE02-9B15FEFB00DA}"/>
            </c:ext>
          </c:extLst>
        </c:ser>
        <c:ser>
          <c:idx val="1"/>
          <c:order val="1"/>
          <c:tx>
            <c:strRef>
              <c:f>'Données Brutes'!$H$1</c:f>
              <c:strCache>
                <c:ptCount val="1"/>
                <c:pt idx="0">
                  <c:v>MI_10m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'Données Brutes'!$H$2:$H$21</c:f>
              <c:numCache>
                <c:formatCode>General</c:formatCode>
                <c:ptCount val="20"/>
                <c:pt idx="0">
                  <c:v>8.19</c:v>
                </c:pt>
                <c:pt idx="1">
                  <c:v>5.5389999999999997</c:v>
                </c:pt>
                <c:pt idx="2">
                  <c:v>11</c:v>
                </c:pt>
                <c:pt idx="3">
                  <c:v>5.64</c:v>
                </c:pt>
                <c:pt idx="4">
                  <c:v>6.7089999999999996</c:v>
                </c:pt>
                <c:pt idx="5">
                  <c:v>5.34</c:v>
                </c:pt>
                <c:pt idx="6">
                  <c:v>6.0670000000000002</c:v>
                </c:pt>
                <c:pt idx="7">
                  <c:v>7.38</c:v>
                </c:pt>
                <c:pt idx="8">
                  <c:v>7.5739999999999998</c:v>
                </c:pt>
                <c:pt idx="9">
                  <c:v>7.2910000000000004</c:v>
                </c:pt>
                <c:pt idx="10">
                  <c:v>5.27</c:v>
                </c:pt>
                <c:pt idx="11">
                  <c:v>9.06</c:v>
                </c:pt>
                <c:pt idx="12">
                  <c:v>9.3800000000000008</c:v>
                </c:pt>
                <c:pt idx="13">
                  <c:v>12</c:v>
                </c:pt>
                <c:pt idx="14">
                  <c:v>5.65</c:v>
                </c:pt>
                <c:pt idx="15">
                  <c:v>13</c:v>
                </c:pt>
                <c:pt idx="16">
                  <c:v>6.38</c:v>
                </c:pt>
                <c:pt idx="17">
                  <c:v>5.39</c:v>
                </c:pt>
                <c:pt idx="18">
                  <c:v>7.25</c:v>
                </c:pt>
                <c:pt idx="19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59-4B9F-AE02-9B15FEFB0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238815"/>
        <c:axId val="158241215"/>
      </c:barChart>
      <c:catAx>
        <c:axId val="158238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241215"/>
        <c:crosses val="autoZero"/>
        <c:auto val="1"/>
        <c:lblAlgn val="ctr"/>
        <c:lblOffset val="100"/>
        <c:noMultiLvlLbl val="0"/>
      </c:catAx>
      <c:valAx>
        <c:axId val="15824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238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/>
              <a:t>15 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'Données Brutes'!$I$1</c:f>
              <c:strCache>
                <c:ptCount val="1"/>
                <c:pt idx="0">
                  <c:v>ME_15m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'Données Brutes'!$I$2:$I$21</c:f>
              <c:numCache>
                <c:formatCode>General</c:formatCode>
                <c:ptCount val="20"/>
                <c:pt idx="0">
                  <c:v>12.29</c:v>
                </c:pt>
                <c:pt idx="1">
                  <c:v>10.154</c:v>
                </c:pt>
                <c:pt idx="2">
                  <c:v>11.89</c:v>
                </c:pt>
                <c:pt idx="3">
                  <c:v>10.627000000000001</c:v>
                </c:pt>
                <c:pt idx="4">
                  <c:v>10.430999999999999</c:v>
                </c:pt>
                <c:pt idx="5">
                  <c:v>9.4730000000000008</c:v>
                </c:pt>
                <c:pt idx="6">
                  <c:v>9.14</c:v>
                </c:pt>
                <c:pt idx="7">
                  <c:v>9.36</c:v>
                </c:pt>
                <c:pt idx="8">
                  <c:v>10.961</c:v>
                </c:pt>
                <c:pt idx="9">
                  <c:v>10.708</c:v>
                </c:pt>
                <c:pt idx="10">
                  <c:v>9.2799999999999994</c:v>
                </c:pt>
                <c:pt idx="11">
                  <c:v>10.62</c:v>
                </c:pt>
                <c:pt idx="12">
                  <c:v>10.99</c:v>
                </c:pt>
                <c:pt idx="13">
                  <c:v>13.63</c:v>
                </c:pt>
                <c:pt idx="14">
                  <c:v>9.75</c:v>
                </c:pt>
                <c:pt idx="15">
                  <c:v>13.94</c:v>
                </c:pt>
                <c:pt idx="16">
                  <c:v>10.32</c:v>
                </c:pt>
                <c:pt idx="17">
                  <c:v>9.76</c:v>
                </c:pt>
                <c:pt idx="18">
                  <c:v>9.49</c:v>
                </c:pt>
                <c:pt idx="19">
                  <c:v>9.7799999999999994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7-49A8-AB25-AC329AD0234D}"/>
            </c:ext>
          </c:extLst>
        </c:ser>
        <c:ser>
          <c:idx val="1"/>
          <c:order val="1"/>
          <c:tx>
            <c:strRef>
              <c:f>'Données Brutes'!$J$1</c:f>
              <c:strCache>
                <c:ptCount val="1"/>
                <c:pt idx="0">
                  <c:v>MI_15m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'Données Brutes'!$J$2:$J$21</c:f>
              <c:numCache>
                <c:formatCode>General</c:formatCode>
                <c:ptCount val="20"/>
                <c:pt idx="0">
                  <c:v>13.34</c:v>
                </c:pt>
                <c:pt idx="1">
                  <c:v>9.1010000000000009</c:v>
                </c:pt>
                <c:pt idx="2">
                  <c:v>15.92</c:v>
                </c:pt>
                <c:pt idx="3">
                  <c:v>8.593</c:v>
                </c:pt>
                <c:pt idx="4">
                  <c:v>10.929</c:v>
                </c:pt>
                <c:pt idx="5">
                  <c:v>9.3390000000000004</c:v>
                </c:pt>
                <c:pt idx="6">
                  <c:v>8.3000000000000007</c:v>
                </c:pt>
                <c:pt idx="7">
                  <c:v>10.4</c:v>
                </c:pt>
                <c:pt idx="8">
                  <c:v>9.94</c:v>
                </c:pt>
                <c:pt idx="9">
                  <c:v>10.779</c:v>
                </c:pt>
                <c:pt idx="10">
                  <c:v>8.43</c:v>
                </c:pt>
                <c:pt idx="11">
                  <c:v>12.44</c:v>
                </c:pt>
                <c:pt idx="12">
                  <c:v>13.7</c:v>
                </c:pt>
                <c:pt idx="13">
                  <c:v>17.98</c:v>
                </c:pt>
                <c:pt idx="14">
                  <c:v>7.61</c:v>
                </c:pt>
                <c:pt idx="15">
                  <c:v>20.3</c:v>
                </c:pt>
                <c:pt idx="16">
                  <c:v>8.657</c:v>
                </c:pt>
                <c:pt idx="17">
                  <c:v>7</c:v>
                </c:pt>
                <c:pt idx="18">
                  <c:v>10.6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A7-49A8-AB25-AC329AD02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258495"/>
        <c:axId val="158246015"/>
      </c:barChart>
      <c:catAx>
        <c:axId val="1582584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246015"/>
        <c:crosses val="autoZero"/>
        <c:auto val="1"/>
        <c:lblAlgn val="ctr"/>
        <c:lblOffset val="100"/>
        <c:noMultiLvlLbl val="0"/>
      </c:catAx>
      <c:valAx>
        <c:axId val="15824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25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/>
              <a:t>ALL</a:t>
            </a:r>
            <a:r>
              <a:rPr lang="fr-BE" baseline="0"/>
              <a:t> CONDITIONS</a:t>
            </a:r>
            <a:endParaRPr lang="fr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BE"/>
        </a:p>
      </c:txPr>
    </c:title>
    <c:autoTitleDeleted val="0"/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'Données Brutes'!$E$1</c:f>
              <c:strCache>
                <c:ptCount val="1"/>
                <c:pt idx="0">
                  <c:v>ME_5m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val>
            <c:numRef>
              <c:f>'Données Brutes'!$E$2:$E$21</c:f>
              <c:numCache>
                <c:formatCode>General</c:formatCode>
                <c:ptCount val="20"/>
                <c:pt idx="0">
                  <c:v>4.1550000000000002</c:v>
                </c:pt>
                <c:pt idx="1">
                  <c:v>2.85</c:v>
                </c:pt>
                <c:pt idx="2">
                  <c:v>4.55</c:v>
                </c:pt>
                <c:pt idx="3">
                  <c:v>3.4820000000000002</c:v>
                </c:pt>
                <c:pt idx="4">
                  <c:v>3.4369999999999998</c:v>
                </c:pt>
                <c:pt idx="5">
                  <c:v>3.42</c:v>
                </c:pt>
                <c:pt idx="6">
                  <c:v>3.2469999999999999</c:v>
                </c:pt>
                <c:pt idx="7">
                  <c:v>3.27</c:v>
                </c:pt>
                <c:pt idx="8">
                  <c:v>3.9119999999999999</c:v>
                </c:pt>
                <c:pt idx="9">
                  <c:v>3.7229999999999999</c:v>
                </c:pt>
                <c:pt idx="10">
                  <c:v>3.2229999999999999</c:v>
                </c:pt>
                <c:pt idx="11">
                  <c:v>3.77</c:v>
                </c:pt>
                <c:pt idx="12">
                  <c:v>4.1900000000000004</c:v>
                </c:pt>
                <c:pt idx="13">
                  <c:v>5.36</c:v>
                </c:pt>
                <c:pt idx="14">
                  <c:v>3.59</c:v>
                </c:pt>
                <c:pt idx="15">
                  <c:v>4.8499999999999996</c:v>
                </c:pt>
                <c:pt idx="16">
                  <c:v>3.73</c:v>
                </c:pt>
                <c:pt idx="17">
                  <c:v>3.39</c:v>
                </c:pt>
                <c:pt idx="18">
                  <c:v>3.41</c:v>
                </c:pt>
                <c:pt idx="19">
                  <c:v>3.56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6-4054-BDE7-A74E459FAFB7}"/>
            </c:ext>
          </c:extLst>
        </c:ser>
        <c:ser>
          <c:idx val="1"/>
          <c:order val="1"/>
          <c:tx>
            <c:strRef>
              <c:f>'Données Brutes'!$F$1</c:f>
              <c:strCache>
                <c:ptCount val="1"/>
                <c:pt idx="0">
                  <c:v>MI_5m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val>
            <c:numRef>
              <c:f>'Données Brutes'!$F$2:$F$21</c:f>
              <c:numCache>
                <c:formatCode>General</c:formatCode>
                <c:ptCount val="20"/>
                <c:pt idx="0">
                  <c:v>4.2110000000000003</c:v>
                </c:pt>
                <c:pt idx="1">
                  <c:v>3.49</c:v>
                </c:pt>
                <c:pt idx="2">
                  <c:v>6.36</c:v>
                </c:pt>
                <c:pt idx="3">
                  <c:v>2.77</c:v>
                </c:pt>
                <c:pt idx="4">
                  <c:v>3.8290000000000002</c:v>
                </c:pt>
                <c:pt idx="5">
                  <c:v>2.78</c:v>
                </c:pt>
                <c:pt idx="6">
                  <c:v>3.3330000000000002</c:v>
                </c:pt>
                <c:pt idx="7">
                  <c:v>4.21</c:v>
                </c:pt>
                <c:pt idx="8">
                  <c:v>3.3460000000000001</c:v>
                </c:pt>
                <c:pt idx="9">
                  <c:v>3.9380000000000002</c:v>
                </c:pt>
                <c:pt idx="10">
                  <c:v>3.056</c:v>
                </c:pt>
                <c:pt idx="11">
                  <c:v>4.6500000000000004</c:v>
                </c:pt>
                <c:pt idx="12">
                  <c:v>4.72</c:v>
                </c:pt>
                <c:pt idx="13">
                  <c:v>5.98</c:v>
                </c:pt>
                <c:pt idx="14">
                  <c:v>3.25</c:v>
                </c:pt>
                <c:pt idx="15">
                  <c:v>6.68</c:v>
                </c:pt>
                <c:pt idx="16">
                  <c:v>3.92</c:v>
                </c:pt>
                <c:pt idx="17">
                  <c:v>2.79</c:v>
                </c:pt>
                <c:pt idx="18">
                  <c:v>4.16</c:v>
                </c:pt>
                <c:pt idx="19">
                  <c:v>4.21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16-4054-BDE7-A74E459FAFB7}"/>
            </c:ext>
          </c:extLst>
        </c:ser>
        <c:ser>
          <c:idx val="2"/>
          <c:order val="2"/>
          <c:tx>
            <c:strRef>
              <c:f>'Données Brutes'!$G$1</c:f>
              <c:strCache>
                <c:ptCount val="1"/>
                <c:pt idx="0">
                  <c:v>ME_10m</c:v>
                </c:pt>
              </c:strCache>
            </c:strRef>
          </c:tx>
          <c:spPr>
            <a:pattFill prst="ltDnDiag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solidFill>
                <a:schemeClr val="accent3"/>
              </a:solidFill>
            </a:ln>
            <a:effectLst/>
            <a:sp3d>
              <a:contourClr>
                <a:schemeClr val="accent3"/>
              </a:contourClr>
            </a:sp3d>
          </c:spPr>
          <c:invertIfNegative val="0"/>
          <c:val>
            <c:numRef>
              <c:f>'Données Brutes'!$G$2:$G$21</c:f>
              <c:numCache>
                <c:formatCode>General</c:formatCode>
                <c:ptCount val="20"/>
                <c:pt idx="0">
                  <c:v>8.23</c:v>
                </c:pt>
                <c:pt idx="1">
                  <c:v>6.7869999999999999</c:v>
                </c:pt>
                <c:pt idx="2">
                  <c:v>8</c:v>
                </c:pt>
                <c:pt idx="3">
                  <c:v>6.8869999999999996</c:v>
                </c:pt>
                <c:pt idx="4">
                  <c:v>6.7519999999999998</c:v>
                </c:pt>
                <c:pt idx="5">
                  <c:v>6.49</c:v>
                </c:pt>
                <c:pt idx="6">
                  <c:v>6.1280000000000001</c:v>
                </c:pt>
                <c:pt idx="7">
                  <c:v>6.35</c:v>
                </c:pt>
                <c:pt idx="8">
                  <c:v>7.3810000000000002</c:v>
                </c:pt>
                <c:pt idx="9">
                  <c:v>7.1440000000000001</c:v>
                </c:pt>
                <c:pt idx="10">
                  <c:v>6.1769999999999996</c:v>
                </c:pt>
                <c:pt idx="11">
                  <c:v>7.19</c:v>
                </c:pt>
                <c:pt idx="12">
                  <c:v>7.78</c:v>
                </c:pt>
                <c:pt idx="13">
                  <c:v>9.51</c:v>
                </c:pt>
                <c:pt idx="14">
                  <c:v>6.56</c:v>
                </c:pt>
                <c:pt idx="15">
                  <c:v>9.44</c:v>
                </c:pt>
                <c:pt idx="16">
                  <c:v>6.91</c:v>
                </c:pt>
                <c:pt idx="17">
                  <c:v>6.86</c:v>
                </c:pt>
                <c:pt idx="18">
                  <c:v>6.49</c:v>
                </c:pt>
                <c:pt idx="19">
                  <c:v>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16-4054-BDE7-A74E459FAFB7}"/>
            </c:ext>
          </c:extLst>
        </c:ser>
        <c:ser>
          <c:idx val="3"/>
          <c:order val="3"/>
          <c:tx>
            <c:strRef>
              <c:f>'Données Brutes'!$H$1</c:f>
              <c:strCache>
                <c:ptCount val="1"/>
                <c:pt idx="0">
                  <c:v>MI_10m</c:v>
                </c:pt>
              </c:strCache>
            </c:strRef>
          </c:tx>
          <c:spPr>
            <a:pattFill prst="ltDnDiag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/>
              </a:solidFill>
            </a:ln>
            <a:effectLst/>
            <a:sp3d>
              <a:contourClr>
                <a:schemeClr val="accent4"/>
              </a:contourClr>
            </a:sp3d>
          </c:spPr>
          <c:invertIfNegative val="0"/>
          <c:val>
            <c:numRef>
              <c:f>'Données Brutes'!$H$2:$H$21</c:f>
              <c:numCache>
                <c:formatCode>General</c:formatCode>
                <c:ptCount val="20"/>
                <c:pt idx="0">
                  <c:v>8.19</c:v>
                </c:pt>
                <c:pt idx="1">
                  <c:v>5.5389999999999997</c:v>
                </c:pt>
                <c:pt idx="2">
                  <c:v>11</c:v>
                </c:pt>
                <c:pt idx="3">
                  <c:v>5.64</c:v>
                </c:pt>
                <c:pt idx="4">
                  <c:v>6.7089999999999996</c:v>
                </c:pt>
                <c:pt idx="5">
                  <c:v>5.34</c:v>
                </c:pt>
                <c:pt idx="6">
                  <c:v>6.0670000000000002</c:v>
                </c:pt>
                <c:pt idx="7">
                  <c:v>7.38</c:v>
                </c:pt>
                <c:pt idx="8">
                  <c:v>7.5739999999999998</c:v>
                </c:pt>
                <c:pt idx="9">
                  <c:v>7.2910000000000004</c:v>
                </c:pt>
                <c:pt idx="10">
                  <c:v>5.27</c:v>
                </c:pt>
                <c:pt idx="11">
                  <c:v>9.06</c:v>
                </c:pt>
                <c:pt idx="12">
                  <c:v>9.3800000000000008</c:v>
                </c:pt>
                <c:pt idx="13">
                  <c:v>12</c:v>
                </c:pt>
                <c:pt idx="14">
                  <c:v>5.65</c:v>
                </c:pt>
                <c:pt idx="15">
                  <c:v>13</c:v>
                </c:pt>
                <c:pt idx="16">
                  <c:v>6.38</c:v>
                </c:pt>
                <c:pt idx="17">
                  <c:v>5.39</c:v>
                </c:pt>
                <c:pt idx="18">
                  <c:v>7.25</c:v>
                </c:pt>
                <c:pt idx="19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16-4054-BDE7-A74E459FAFB7}"/>
            </c:ext>
          </c:extLst>
        </c:ser>
        <c:ser>
          <c:idx val="4"/>
          <c:order val="4"/>
          <c:tx>
            <c:strRef>
              <c:f>'Données Brutes'!$I$1</c:f>
              <c:strCache>
                <c:ptCount val="1"/>
                <c:pt idx="0">
                  <c:v>ME_15m</c:v>
                </c:pt>
              </c:strCache>
            </c:strRef>
          </c:tx>
          <c:spPr>
            <a:pattFill prst="ltDnDiag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solidFill>
                <a:schemeClr val="accent5"/>
              </a:solidFill>
            </a:ln>
            <a:effectLst/>
            <a:sp3d>
              <a:contourClr>
                <a:schemeClr val="accent5"/>
              </a:contourClr>
            </a:sp3d>
          </c:spPr>
          <c:invertIfNegative val="0"/>
          <c:val>
            <c:numRef>
              <c:f>'Données Brutes'!$I$2:$I$21</c:f>
              <c:numCache>
                <c:formatCode>General</c:formatCode>
                <c:ptCount val="20"/>
                <c:pt idx="0">
                  <c:v>12.29</c:v>
                </c:pt>
                <c:pt idx="1">
                  <c:v>10.154</c:v>
                </c:pt>
                <c:pt idx="2">
                  <c:v>11.89</c:v>
                </c:pt>
                <c:pt idx="3">
                  <c:v>10.627000000000001</c:v>
                </c:pt>
                <c:pt idx="4">
                  <c:v>10.430999999999999</c:v>
                </c:pt>
                <c:pt idx="5">
                  <c:v>9.4730000000000008</c:v>
                </c:pt>
                <c:pt idx="6">
                  <c:v>9.14</c:v>
                </c:pt>
                <c:pt idx="7">
                  <c:v>9.36</c:v>
                </c:pt>
                <c:pt idx="8">
                  <c:v>10.961</c:v>
                </c:pt>
                <c:pt idx="9">
                  <c:v>10.708</c:v>
                </c:pt>
                <c:pt idx="10">
                  <c:v>9.2799999999999994</c:v>
                </c:pt>
                <c:pt idx="11">
                  <c:v>10.62</c:v>
                </c:pt>
                <c:pt idx="12">
                  <c:v>10.99</c:v>
                </c:pt>
                <c:pt idx="13">
                  <c:v>13.63</c:v>
                </c:pt>
                <c:pt idx="14">
                  <c:v>9.75</c:v>
                </c:pt>
                <c:pt idx="15">
                  <c:v>13.94</c:v>
                </c:pt>
                <c:pt idx="16">
                  <c:v>10.32</c:v>
                </c:pt>
                <c:pt idx="17">
                  <c:v>9.76</c:v>
                </c:pt>
                <c:pt idx="18">
                  <c:v>9.49</c:v>
                </c:pt>
                <c:pt idx="19">
                  <c:v>9.7799999999999994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16-4054-BDE7-A74E459FAFB7}"/>
            </c:ext>
          </c:extLst>
        </c:ser>
        <c:ser>
          <c:idx val="5"/>
          <c:order val="5"/>
          <c:tx>
            <c:strRef>
              <c:f>'Données Brutes'!$J$1</c:f>
              <c:strCache>
                <c:ptCount val="1"/>
                <c:pt idx="0">
                  <c:v>MI_15m</c:v>
                </c:pt>
              </c:strCache>
            </c:strRef>
          </c:tx>
          <c:spPr>
            <a:pattFill prst="ltDnDiag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solidFill>
                <a:schemeClr val="accent6"/>
              </a:solidFill>
            </a:ln>
            <a:effectLst/>
            <a:sp3d>
              <a:contourClr>
                <a:schemeClr val="accent6"/>
              </a:contourClr>
            </a:sp3d>
          </c:spPr>
          <c:invertIfNegative val="0"/>
          <c:val>
            <c:numRef>
              <c:f>'Données Brutes'!$J$2:$J$21</c:f>
              <c:numCache>
                <c:formatCode>General</c:formatCode>
                <c:ptCount val="20"/>
                <c:pt idx="0">
                  <c:v>13.34</c:v>
                </c:pt>
                <c:pt idx="1">
                  <c:v>9.1010000000000009</c:v>
                </c:pt>
                <c:pt idx="2">
                  <c:v>15.92</c:v>
                </c:pt>
                <c:pt idx="3">
                  <c:v>8.593</c:v>
                </c:pt>
                <c:pt idx="4">
                  <c:v>10.929</c:v>
                </c:pt>
                <c:pt idx="5">
                  <c:v>9.3390000000000004</c:v>
                </c:pt>
                <c:pt idx="6">
                  <c:v>8.3000000000000007</c:v>
                </c:pt>
                <c:pt idx="7">
                  <c:v>10.4</c:v>
                </c:pt>
                <c:pt idx="8">
                  <c:v>9.94</c:v>
                </c:pt>
                <c:pt idx="9">
                  <c:v>10.779</c:v>
                </c:pt>
                <c:pt idx="10">
                  <c:v>8.43</c:v>
                </c:pt>
                <c:pt idx="11">
                  <c:v>12.44</c:v>
                </c:pt>
                <c:pt idx="12">
                  <c:v>13.7</c:v>
                </c:pt>
                <c:pt idx="13">
                  <c:v>17.98</c:v>
                </c:pt>
                <c:pt idx="14">
                  <c:v>7.61</c:v>
                </c:pt>
                <c:pt idx="15">
                  <c:v>20.3</c:v>
                </c:pt>
                <c:pt idx="16">
                  <c:v>8.657</c:v>
                </c:pt>
                <c:pt idx="17">
                  <c:v>7</c:v>
                </c:pt>
                <c:pt idx="18">
                  <c:v>10.6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16-4054-BDE7-A74E459FA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804317551"/>
        <c:axId val="804318031"/>
        <c:axId val="939394303"/>
      </c:bar3DChart>
      <c:catAx>
        <c:axId val="804317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4318031"/>
        <c:crosses val="autoZero"/>
        <c:auto val="1"/>
        <c:lblAlgn val="ctr"/>
        <c:lblOffset val="100"/>
        <c:noMultiLvlLbl val="0"/>
      </c:catAx>
      <c:valAx>
        <c:axId val="804318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4317551"/>
        <c:crosses val="autoZero"/>
        <c:crossBetween val="between"/>
      </c:valAx>
      <c:serAx>
        <c:axId val="9393943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4318031"/>
        <c:crosses val="autoZero"/>
      </c:ser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761999</xdr:colOff>
      <xdr:row>1</xdr:row>
      <xdr:rowOff>180974</xdr:rowOff>
    </xdr:from>
    <xdr:to>
      <xdr:col>7</xdr:col>
      <xdr:colOff>752474</xdr:colOff>
      <xdr:row>20</xdr:row>
      <xdr:rowOff>9524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FD4FE5C-DE7D-4104-8047-56FD303E9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114299</xdr:colOff>
      <xdr:row>2</xdr:row>
      <xdr:rowOff>9526</xdr:rowOff>
    </xdr:from>
    <xdr:to>
      <xdr:col>15</xdr:col>
      <xdr:colOff>561974</xdr:colOff>
      <xdr:row>20</xdr:row>
      <xdr:rowOff>19050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DC46967-AF24-44B6-8DF5-7528830A0B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742951</xdr:colOff>
      <xdr:row>2</xdr:row>
      <xdr:rowOff>0</xdr:rowOff>
    </xdr:from>
    <xdr:to>
      <xdr:col>22</xdr:col>
      <xdr:colOff>628651</xdr:colOff>
      <xdr:row>20</xdr:row>
      <xdr:rowOff>9525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90BBE364-7BEC-40B9-B073-62F8718A1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57150</xdr:colOff>
      <xdr:row>21</xdr:row>
      <xdr:rowOff>133350</xdr:rowOff>
    </xdr:from>
    <xdr:to>
      <xdr:col>12</xdr:col>
      <xdr:colOff>590551</xdr:colOff>
      <xdr:row>53</xdr:row>
      <xdr:rowOff>133350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F35B3BB-F447-4E1A-9C62-98C3160F7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469F-3D39-4A81-A9C5-D7FD8E0FB435}">
  <dimension ref="A1:P31"/>
  <sheetViews>
    <sheetView tabSelected="1" topLeftCell="A11" workbookViewId="0">
      <selection activeCell="O23" sqref="O23"/>
    </sheetView>
  </sheetViews>
  <sheetFormatPr baseColWidth="10" defaultRowHeight="14.5" x14ac:dyDescent="0.35"/>
  <cols>
    <col min="2" max="2" width="5.54296875" customWidth="1"/>
    <col min="3" max="3" width="5.7265625" customWidth="1"/>
    <col min="4" max="4" width="7.7265625" customWidth="1"/>
    <col min="15" max="15" width="16.1796875" customWidth="1"/>
  </cols>
  <sheetData>
    <row r="1" spans="1:16" x14ac:dyDescent="0.35">
      <c r="A1" t="s">
        <v>0</v>
      </c>
      <c r="B1" t="s">
        <v>7</v>
      </c>
      <c r="C1" t="s">
        <v>8</v>
      </c>
      <c r="D1" t="s">
        <v>9</v>
      </c>
      <c r="E1" t="s">
        <v>1</v>
      </c>
      <c r="F1" t="s">
        <v>4</v>
      </c>
      <c r="G1" t="s">
        <v>2</v>
      </c>
      <c r="H1" t="s">
        <v>5</v>
      </c>
      <c r="I1" t="s">
        <v>3</v>
      </c>
      <c r="J1" t="s">
        <v>6</v>
      </c>
      <c r="K1" s="1" t="s">
        <v>53</v>
      </c>
      <c r="L1" s="1" t="s">
        <v>54</v>
      </c>
      <c r="M1" s="1" t="s">
        <v>55</v>
      </c>
    </row>
    <row r="2" spans="1:16" x14ac:dyDescent="0.35">
      <c r="A2" t="s">
        <v>12</v>
      </c>
      <c r="B2" t="s">
        <v>10</v>
      </c>
      <c r="C2">
        <v>22</v>
      </c>
      <c r="D2">
        <v>57</v>
      </c>
      <c r="E2">
        <v>4.1550000000000002</v>
      </c>
      <c r="F2">
        <v>4.2110000000000003</v>
      </c>
      <c r="G2">
        <v>8.23</v>
      </c>
      <c r="H2">
        <v>8.19</v>
      </c>
      <c r="I2">
        <v>12.29</v>
      </c>
      <c r="J2">
        <v>13.34</v>
      </c>
      <c r="K2">
        <f>(F2-E2)</f>
        <v>5.600000000000005E-2</v>
      </c>
      <c r="L2">
        <f>(H2-G2)</f>
        <v>-4.0000000000000924E-2</v>
      </c>
      <c r="M2">
        <f>(J2-I2)</f>
        <v>1.0500000000000007</v>
      </c>
    </row>
    <row r="3" spans="1:16" x14ac:dyDescent="0.35">
      <c r="A3" t="s">
        <v>13</v>
      </c>
      <c r="B3" t="s">
        <v>11</v>
      </c>
      <c r="C3">
        <v>22</v>
      </c>
      <c r="D3">
        <v>65</v>
      </c>
      <c r="E3">
        <v>2.85</v>
      </c>
      <c r="F3">
        <v>3.49</v>
      </c>
      <c r="G3">
        <v>6.7869999999999999</v>
      </c>
      <c r="H3">
        <v>5.5389999999999997</v>
      </c>
      <c r="I3">
        <v>10.154</v>
      </c>
      <c r="J3">
        <v>9.1010000000000009</v>
      </c>
      <c r="K3">
        <f t="shared" ref="K3:K31" si="0">(F3-E3)</f>
        <v>0.64000000000000012</v>
      </c>
      <c r="L3">
        <f t="shared" ref="L3:L11" si="1">(H3-G3)</f>
        <v>-1.2480000000000002</v>
      </c>
      <c r="M3">
        <f t="shared" ref="M3:M31" si="2">(J3-I3)</f>
        <v>-1.052999999999999</v>
      </c>
    </row>
    <row r="4" spans="1:16" x14ac:dyDescent="0.35">
      <c r="A4" t="s">
        <v>14</v>
      </c>
      <c r="B4" t="s">
        <v>11</v>
      </c>
      <c r="C4">
        <v>22</v>
      </c>
      <c r="D4">
        <v>61</v>
      </c>
      <c r="E4">
        <v>4.55</v>
      </c>
      <c r="F4">
        <v>6.36</v>
      </c>
      <c r="G4">
        <v>8</v>
      </c>
      <c r="H4">
        <v>11</v>
      </c>
      <c r="I4">
        <v>11.89</v>
      </c>
      <c r="J4">
        <v>15.92</v>
      </c>
      <c r="K4">
        <f t="shared" si="0"/>
        <v>1.8100000000000005</v>
      </c>
      <c r="L4">
        <f t="shared" si="1"/>
        <v>3</v>
      </c>
      <c r="M4">
        <f t="shared" si="2"/>
        <v>4.0299999999999994</v>
      </c>
    </row>
    <row r="5" spans="1:16" x14ac:dyDescent="0.35">
      <c r="A5" t="s">
        <v>15</v>
      </c>
      <c r="B5" t="s">
        <v>10</v>
      </c>
      <c r="C5">
        <v>22</v>
      </c>
      <c r="D5">
        <v>47</v>
      </c>
      <c r="E5">
        <v>3.4820000000000002</v>
      </c>
      <c r="F5">
        <v>2.77</v>
      </c>
      <c r="G5">
        <v>6.8869999999999996</v>
      </c>
      <c r="H5">
        <v>5.64</v>
      </c>
      <c r="I5">
        <v>10.627000000000001</v>
      </c>
      <c r="J5">
        <v>8.593</v>
      </c>
      <c r="K5">
        <f t="shared" si="0"/>
        <v>-0.71200000000000019</v>
      </c>
      <c r="L5">
        <f t="shared" si="1"/>
        <v>-1.2469999999999999</v>
      </c>
      <c r="M5">
        <f t="shared" si="2"/>
        <v>-2.0340000000000007</v>
      </c>
    </row>
    <row r="6" spans="1:16" x14ac:dyDescent="0.35">
      <c r="A6" t="s">
        <v>16</v>
      </c>
      <c r="B6" t="s">
        <v>11</v>
      </c>
      <c r="C6">
        <v>22</v>
      </c>
      <c r="D6">
        <v>65</v>
      </c>
      <c r="E6">
        <v>3.4369999999999998</v>
      </c>
      <c r="F6">
        <v>3.8290000000000002</v>
      </c>
      <c r="G6">
        <v>6.7519999999999998</v>
      </c>
      <c r="H6">
        <v>6.7089999999999996</v>
      </c>
      <c r="I6">
        <v>10.430999999999999</v>
      </c>
      <c r="J6">
        <v>10.929</v>
      </c>
      <c r="K6">
        <f t="shared" si="0"/>
        <v>0.39200000000000035</v>
      </c>
      <c r="L6">
        <f t="shared" si="1"/>
        <v>-4.3000000000000149E-2</v>
      </c>
      <c r="M6">
        <f t="shared" si="2"/>
        <v>0.49800000000000111</v>
      </c>
      <c r="O6" t="s">
        <v>42</v>
      </c>
      <c r="P6">
        <f>AVERAGE(C2:C31)</f>
        <v>21.933333333333334</v>
      </c>
    </row>
    <row r="7" spans="1:16" x14ac:dyDescent="0.35">
      <c r="A7" t="s">
        <v>17</v>
      </c>
      <c r="B7" t="s">
        <v>11</v>
      </c>
      <c r="C7">
        <v>21</v>
      </c>
      <c r="D7">
        <v>64</v>
      </c>
      <c r="E7">
        <v>3.42</v>
      </c>
      <c r="F7">
        <v>2.78</v>
      </c>
      <c r="G7">
        <v>6.49</v>
      </c>
      <c r="H7">
        <v>5.34</v>
      </c>
      <c r="I7">
        <v>9.4730000000000008</v>
      </c>
      <c r="J7">
        <v>9.3390000000000004</v>
      </c>
      <c r="K7">
        <f t="shared" si="0"/>
        <v>-0.64000000000000012</v>
      </c>
      <c r="L7">
        <f t="shared" si="1"/>
        <v>-1.1500000000000004</v>
      </c>
      <c r="M7">
        <f t="shared" si="2"/>
        <v>-0.13400000000000034</v>
      </c>
      <c r="O7" t="s">
        <v>51</v>
      </c>
      <c r="P7">
        <f>STDEV(C2:C31)</f>
        <v>1.7406565018610838</v>
      </c>
    </row>
    <row r="8" spans="1:16" x14ac:dyDescent="0.35">
      <c r="A8" t="s">
        <v>18</v>
      </c>
      <c r="B8" t="s">
        <v>11</v>
      </c>
      <c r="C8">
        <v>22</v>
      </c>
      <c r="D8">
        <v>55</v>
      </c>
      <c r="E8">
        <v>3.2469999999999999</v>
      </c>
      <c r="F8">
        <v>3.3330000000000002</v>
      </c>
      <c r="G8">
        <v>6.1280000000000001</v>
      </c>
      <c r="H8">
        <v>6.0670000000000002</v>
      </c>
      <c r="I8">
        <v>9.14</v>
      </c>
      <c r="J8">
        <v>8.3000000000000007</v>
      </c>
      <c r="K8">
        <f t="shared" si="0"/>
        <v>8.6000000000000298E-2</v>
      </c>
      <c r="L8">
        <f t="shared" si="1"/>
        <v>-6.0999999999999943E-2</v>
      </c>
      <c r="M8">
        <f t="shared" si="2"/>
        <v>-0.83999999999999986</v>
      </c>
      <c r="O8" t="s">
        <v>43</v>
      </c>
      <c r="P8">
        <f>AVERAGE(D2:D31)</f>
        <v>60.866666666666667</v>
      </c>
    </row>
    <row r="9" spans="1:16" x14ac:dyDescent="0.35">
      <c r="A9" t="s">
        <v>19</v>
      </c>
      <c r="B9" t="s">
        <v>10</v>
      </c>
      <c r="C9">
        <v>21</v>
      </c>
      <c r="D9">
        <v>78</v>
      </c>
      <c r="E9">
        <v>3.27</v>
      </c>
      <c r="F9">
        <v>4.21</v>
      </c>
      <c r="G9">
        <v>6.35</v>
      </c>
      <c r="H9">
        <v>7.38</v>
      </c>
      <c r="I9">
        <v>9.36</v>
      </c>
      <c r="J9">
        <v>10.4</v>
      </c>
      <c r="K9">
        <f t="shared" si="0"/>
        <v>0.94</v>
      </c>
      <c r="L9">
        <f t="shared" si="1"/>
        <v>1.0300000000000002</v>
      </c>
      <c r="M9">
        <f t="shared" si="2"/>
        <v>1.0400000000000009</v>
      </c>
      <c r="O9" t="s">
        <v>44</v>
      </c>
      <c r="P9">
        <f>STDEV(D2:D31)</f>
        <v>7.9729427498229155</v>
      </c>
    </row>
    <row r="10" spans="1:16" x14ac:dyDescent="0.35">
      <c r="A10" t="s">
        <v>20</v>
      </c>
      <c r="B10" t="s">
        <v>11</v>
      </c>
      <c r="C10">
        <v>22</v>
      </c>
      <c r="D10">
        <v>64</v>
      </c>
      <c r="E10">
        <v>3.9119999999999999</v>
      </c>
      <c r="F10">
        <v>3.3460000000000001</v>
      </c>
      <c r="G10">
        <v>7.3810000000000002</v>
      </c>
      <c r="H10">
        <v>7.5739999999999998</v>
      </c>
      <c r="I10">
        <v>10.961</v>
      </c>
      <c r="J10">
        <v>9.94</v>
      </c>
      <c r="K10">
        <f t="shared" si="0"/>
        <v>-0.56599999999999984</v>
      </c>
      <c r="L10">
        <f t="shared" si="1"/>
        <v>0.19299999999999962</v>
      </c>
      <c r="M10">
        <f t="shared" si="2"/>
        <v>-1.0210000000000008</v>
      </c>
      <c r="O10" t="s">
        <v>45</v>
      </c>
      <c r="P10">
        <f>STDEV(E2:E31)</f>
        <v>0.51266796967085193</v>
      </c>
    </row>
    <row r="11" spans="1:16" x14ac:dyDescent="0.35">
      <c r="A11" t="s">
        <v>21</v>
      </c>
      <c r="B11" t="s">
        <v>11</v>
      </c>
      <c r="C11">
        <v>22</v>
      </c>
      <c r="D11">
        <v>64</v>
      </c>
      <c r="E11">
        <v>3.7229999999999999</v>
      </c>
      <c r="F11">
        <v>3.9380000000000002</v>
      </c>
      <c r="G11">
        <v>7.1440000000000001</v>
      </c>
      <c r="H11">
        <v>7.2910000000000004</v>
      </c>
      <c r="I11">
        <v>10.708</v>
      </c>
      <c r="J11">
        <v>10.779</v>
      </c>
      <c r="K11">
        <f t="shared" si="0"/>
        <v>0.2150000000000003</v>
      </c>
      <c r="L11">
        <f t="shared" si="1"/>
        <v>0.14700000000000024</v>
      </c>
      <c r="M11">
        <f t="shared" si="2"/>
        <v>7.099999999999973E-2</v>
      </c>
      <c r="O11" t="s">
        <v>46</v>
      </c>
      <c r="P11">
        <f>STDEV(F2:F31)</f>
        <v>1.0337904593258289</v>
      </c>
    </row>
    <row r="12" spans="1:16" x14ac:dyDescent="0.35">
      <c r="A12" t="s">
        <v>22</v>
      </c>
      <c r="B12" t="s">
        <v>11</v>
      </c>
      <c r="C12">
        <v>21</v>
      </c>
      <c r="D12">
        <v>63</v>
      </c>
      <c r="E12">
        <v>3.2229999999999999</v>
      </c>
      <c r="F12">
        <v>3.056</v>
      </c>
      <c r="G12">
        <v>6.1769999999999996</v>
      </c>
      <c r="H12">
        <v>5.27</v>
      </c>
      <c r="I12">
        <v>9.2799999999999994</v>
      </c>
      <c r="J12">
        <v>8.43</v>
      </c>
      <c r="K12">
        <f t="shared" si="0"/>
        <v>-0.16699999999999982</v>
      </c>
      <c r="L12">
        <f t="shared" ref="L12:L31" si="3">(H12-G12)</f>
        <v>-0.90700000000000003</v>
      </c>
      <c r="M12">
        <f t="shared" si="2"/>
        <v>-0.84999999999999964</v>
      </c>
      <c r="O12" t="s">
        <v>49</v>
      </c>
      <c r="P12">
        <f>STDEV(G2:G31)</f>
        <v>0.82951459563279684</v>
      </c>
    </row>
    <row r="13" spans="1:16" x14ac:dyDescent="0.35">
      <c r="A13" t="s">
        <v>23</v>
      </c>
      <c r="B13" t="s">
        <v>10</v>
      </c>
      <c r="C13">
        <v>22</v>
      </c>
      <c r="D13">
        <v>62</v>
      </c>
      <c r="E13">
        <v>3.77</v>
      </c>
      <c r="F13">
        <v>4.6500000000000004</v>
      </c>
      <c r="G13">
        <v>7.19</v>
      </c>
      <c r="H13">
        <v>9.06</v>
      </c>
      <c r="I13">
        <v>10.62</v>
      </c>
      <c r="J13">
        <v>12.44</v>
      </c>
      <c r="K13">
        <f t="shared" si="0"/>
        <v>0.88000000000000034</v>
      </c>
      <c r="L13">
        <f t="shared" si="3"/>
        <v>1.87</v>
      </c>
      <c r="M13">
        <f t="shared" si="2"/>
        <v>1.8200000000000003</v>
      </c>
      <c r="O13" t="s">
        <v>47</v>
      </c>
      <c r="P13">
        <f>STDEV(H2:H31)</f>
        <v>2.0775120620145864</v>
      </c>
    </row>
    <row r="14" spans="1:16" x14ac:dyDescent="0.35">
      <c r="A14" t="s">
        <v>24</v>
      </c>
      <c r="B14" t="s">
        <v>10</v>
      </c>
      <c r="C14">
        <v>22</v>
      </c>
      <c r="D14">
        <v>54</v>
      </c>
      <c r="E14">
        <v>4.1900000000000004</v>
      </c>
      <c r="F14">
        <v>4.72</v>
      </c>
      <c r="G14">
        <v>7.78</v>
      </c>
      <c r="H14">
        <v>9.3800000000000008</v>
      </c>
      <c r="I14">
        <v>10.99</v>
      </c>
      <c r="J14">
        <v>13.7</v>
      </c>
      <c r="K14">
        <f t="shared" si="0"/>
        <v>0.52999999999999936</v>
      </c>
      <c r="L14">
        <f t="shared" si="3"/>
        <v>1.6000000000000005</v>
      </c>
      <c r="M14">
        <f t="shared" si="2"/>
        <v>2.7099999999999991</v>
      </c>
      <c r="O14" t="s">
        <v>50</v>
      </c>
      <c r="P14">
        <f>STDEV(I2:I31)</f>
        <v>1.1928898765063252</v>
      </c>
    </row>
    <row r="15" spans="1:16" x14ac:dyDescent="0.35">
      <c r="A15" t="s">
        <v>25</v>
      </c>
      <c r="B15" t="s">
        <v>11</v>
      </c>
      <c r="C15">
        <v>25</v>
      </c>
      <c r="D15">
        <v>58</v>
      </c>
      <c r="E15">
        <v>5.36</v>
      </c>
      <c r="F15">
        <v>5.98</v>
      </c>
      <c r="G15">
        <v>9.51</v>
      </c>
      <c r="H15">
        <v>12</v>
      </c>
      <c r="I15">
        <v>13.63</v>
      </c>
      <c r="J15">
        <v>17.98</v>
      </c>
      <c r="K15">
        <f t="shared" si="0"/>
        <v>0.62000000000000011</v>
      </c>
      <c r="L15">
        <f t="shared" si="3"/>
        <v>2.4900000000000002</v>
      </c>
      <c r="M15">
        <f t="shared" si="2"/>
        <v>4.3499999999999996</v>
      </c>
      <c r="O15" t="s">
        <v>48</v>
      </c>
      <c r="P15">
        <f>STDEV(J2:J31)</f>
        <v>3.1301173420037576</v>
      </c>
    </row>
    <row r="16" spans="1:16" x14ac:dyDescent="0.35">
      <c r="A16" t="s">
        <v>26</v>
      </c>
      <c r="B16" t="s">
        <v>10</v>
      </c>
      <c r="C16">
        <v>21</v>
      </c>
      <c r="D16">
        <v>36</v>
      </c>
      <c r="E16">
        <v>3.59</v>
      </c>
      <c r="F16">
        <v>3.25</v>
      </c>
      <c r="G16">
        <v>6.56</v>
      </c>
      <c r="H16">
        <v>5.65</v>
      </c>
      <c r="I16">
        <v>9.75</v>
      </c>
      <c r="J16">
        <v>7.61</v>
      </c>
      <c r="K16">
        <f t="shared" si="0"/>
        <v>-0.33999999999999986</v>
      </c>
      <c r="L16">
        <f t="shared" si="3"/>
        <v>-0.90999999999999925</v>
      </c>
      <c r="M16">
        <f t="shared" si="2"/>
        <v>-2.1399999999999997</v>
      </c>
    </row>
    <row r="17" spans="1:15" x14ac:dyDescent="0.35">
      <c r="A17" t="s">
        <v>27</v>
      </c>
      <c r="B17" t="s">
        <v>10</v>
      </c>
      <c r="C17">
        <v>21</v>
      </c>
      <c r="D17">
        <v>59</v>
      </c>
      <c r="E17">
        <v>4.8499999999999996</v>
      </c>
      <c r="F17">
        <v>6.68</v>
      </c>
      <c r="G17">
        <v>9.44</v>
      </c>
      <c r="H17">
        <v>13</v>
      </c>
      <c r="I17">
        <v>13.94</v>
      </c>
      <c r="J17">
        <v>20.3</v>
      </c>
      <c r="K17">
        <f t="shared" si="0"/>
        <v>1.83</v>
      </c>
      <c r="L17">
        <f t="shared" si="3"/>
        <v>3.5600000000000005</v>
      </c>
      <c r="M17">
        <f t="shared" si="2"/>
        <v>6.3600000000000012</v>
      </c>
    </row>
    <row r="18" spans="1:15" x14ac:dyDescent="0.35">
      <c r="A18" t="s">
        <v>28</v>
      </c>
      <c r="B18" t="s">
        <v>10</v>
      </c>
      <c r="C18">
        <v>20</v>
      </c>
      <c r="D18">
        <v>56</v>
      </c>
      <c r="E18">
        <v>3.73</v>
      </c>
      <c r="F18">
        <v>3.92</v>
      </c>
      <c r="G18">
        <v>6.91</v>
      </c>
      <c r="H18">
        <v>6.38</v>
      </c>
      <c r="I18">
        <v>10.32</v>
      </c>
      <c r="J18">
        <v>8.657</v>
      </c>
      <c r="K18">
        <f t="shared" si="0"/>
        <v>0.18999999999999995</v>
      </c>
      <c r="L18">
        <f t="shared" si="3"/>
        <v>-0.53000000000000025</v>
      </c>
      <c r="M18">
        <f t="shared" si="2"/>
        <v>-1.6630000000000003</v>
      </c>
    </row>
    <row r="19" spans="1:15" x14ac:dyDescent="0.35">
      <c r="A19" t="s">
        <v>29</v>
      </c>
      <c r="B19" t="s">
        <v>10</v>
      </c>
      <c r="C19">
        <v>19</v>
      </c>
      <c r="D19">
        <v>67</v>
      </c>
      <c r="E19">
        <v>3.39</v>
      </c>
      <c r="F19">
        <v>2.79</v>
      </c>
      <c r="G19">
        <v>6.86</v>
      </c>
      <c r="H19">
        <v>5.39</v>
      </c>
      <c r="I19">
        <v>9.76</v>
      </c>
      <c r="J19">
        <v>7</v>
      </c>
      <c r="K19">
        <f t="shared" si="0"/>
        <v>-0.60000000000000009</v>
      </c>
      <c r="L19">
        <f t="shared" si="3"/>
        <v>-1.4700000000000006</v>
      </c>
      <c r="M19">
        <f t="shared" si="2"/>
        <v>-2.76</v>
      </c>
    </row>
    <row r="20" spans="1:15" x14ac:dyDescent="0.35">
      <c r="A20" t="s">
        <v>30</v>
      </c>
      <c r="B20" t="s">
        <v>10</v>
      </c>
      <c r="C20">
        <v>20</v>
      </c>
      <c r="D20">
        <v>72</v>
      </c>
      <c r="E20">
        <v>3.41</v>
      </c>
      <c r="F20">
        <v>4.16</v>
      </c>
      <c r="G20">
        <v>6.49</v>
      </c>
      <c r="H20">
        <v>7.25</v>
      </c>
      <c r="I20">
        <v>9.49</v>
      </c>
      <c r="J20">
        <v>10.6</v>
      </c>
      <c r="K20">
        <f t="shared" si="0"/>
        <v>0.75</v>
      </c>
      <c r="L20">
        <f t="shared" si="3"/>
        <v>0.75999999999999979</v>
      </c>
      <c r="M20">
        <f t="shared" si="2"/>
        <v>1.1099999999999994</v>
      </c>
    </row>
    <row r="21" spans="1:15" x14ac:dyDescent="0.35">
      <c r="A21" t="s">
        <v>31</v>
      </c>
      <c r="B21" t="s">
        <v>10</v>
      </c>
      <c r="C21">
        <v>22</v>
      </c>
      <c r="D21">
        <v>59</v>
      </c>
      <c r="E21">
        <v>3.56</v>
      </c>
      <c r="F21">
        <v>4.21</v>
      </c>
      <c r="G21">
        <v>6.7</v>
      </c>
      <c r="H21">
        <v>8.1</v>
      </c>
      <c r="I21">
        <v>9.7799999999999994</v>
      </c>
      <c r="J21">
        <v>11</v>
      </c>
      <c r="K21">
        <f t="shared" si="0"/>
        <v>0.64999999999999991</v>
      </c>
      <c r="L21">
        <f t="shared" si="3"/>
        <v>1.3999999999999995</v>
      </c>
      <c r="M21">
        <f t="shared" si="2"/>
        <v>1.2200000000000006</v>
      </c>
      <c r="O21" t="s">
        <v>52</v>
      </c>
    </row>
    <row r="22" spans="1:15" x14ac:dyDescent="0.35">
      <c r="A22" t="s">
        <v>32</v>
      </c>
      <c r="B22" t="s">
        <v>10</v>
      </c>
      <c r="C22">
        <v>22</v>
      </c>
      <c r="D22">
        <v>59</v>
      </c>
      <c r="E22">
        <v>3.73</v>
      </c>
      <c r="F22">
        <v>3.32</v>
      </c>
      <c r="G22">
        <v>7.23</v>
      </c>
      <c r="H22">
        <v>7.03</v>
      </c>
      <c r="I22">
        <v>10.9</v>
      </c>
      <c r="J22">
        <v>10.6</v>
      </c>
      <c r="K22">
        <f t="shared" si="0"/>
        <v>-0.41000000000000014</v>
      </c>
      <c r="L22">
        <f t="shared" si="3"/>
        <v>-0.20000000000000018</v>
      </c>
      <c r="M22">
        <f t="shared" si="2"/>
        <v>-0.30000000000000071</v>
      </c>
    </row>
    <row r="23" spans="1:15" x14ac:dyDescent="0.35">
      <c r="A23" t="s">
        <v>33</v>
      </c>
      <c r="B23" t="s">
        <v>10</v>
      </c>
      <c r="C23">
        <v>22</v>
      </c>
      <c r="D23">
        <v>61</v>
      </c>
      <c r="E23">
        <v>3.92</v>
      </c>
      <c r="F23">
        <v>4.09</v>
      </c>
      <c r="G23">
        <v>7.42</v>
      </c>
      <c r="H23">
        <v>5.83</v>
      </c>
      <c r="I23">
        <v>11.02</v>
      </c>
      <c r="J23">
        <v>9.0519999999999996</v>
      </c>
      <c r="K23">
        <f t="shared" si="0"/>
        <v>0.16999999999999993</v>
      </c>
      <c r="L23">
        <f t="shared" si="3"/>
        <v>-1.5899999999999999</v>
      </c>
      <c r="M23">
        <f t="shared" si="2"/>
        <v>-1.968</v>
      </c>
    </row>
    <row r="24" spans="1:15" x14ac:dyDescent="0.35">
      <c r="A24" t="s">
        <v>34</v>
      </c>
      <c r="B24" t="s">
        <v>10</v>
      </c>
      <c r="C24">
        <v>18</v>
      </c>
      <c r="D24">
        <v>73</v>
      </c>
      <c r="E24">
        <v>3.41</v>
      </c>
      <c r="F24">
        <v>2.08</v>
      </c>
      <c r="G24">
        <v>6.51</v>
      </c>
      <c r="H24">
        <v>3.55</v>
      </c>
      <c r="I24">
        <v>9.4</v>
      </c>
      <c r="J24">
        <v>5.18</v>
      </c>
      <c r="K24">
        <f t="shared" si="0"/>
        <v>-1.33</v>
      </c>
      <c r="L24">
        <f t="shared" si="3"/>
        <v>-2.96</v>
      </c>
      <c r="M24">
        <f t="shared" si="2"/>
        <v>-4.2200000000000006</v>
      </c>
    </row>
    <row r="25" spans="1:15" x14ac:dyDescent="0.35">
      <c r="A25" t="s">
        <v>35</v>
      </c>
      <c r="B25" t="s">
        <v>10</v>
      </c>
      <c r="C25">
        <v>20</v>
      </c>
      <c r="D25">
        <v>70</v>
      </c>
      <c r="E25">
        <v>3.95</v>
      </c>
      <c r="F25">
        <v>4.1100000000000003</v>
      </c>
      <c r="G25">
        <v>7.7</v>
      </c>
      <c r="H25">
        <v>8.76</v>
      </c>
      <c r="I25">
        <v>11.15</v>
      </c>
      <c r="J25">
        <v>11.07</v>
      </c>
      <c r="K25">
        <f t="shared" si="0"/>
        <v>0.16000000000000014</v>
      </c>
      <c r="L25">
        <f t="shared" si="3"/>
        <v>1.0599999999999996</v>
      </c>
      <c r="M25">
        <f t="shared" si="2"/>
        <v>-8.0000000000000071E-2</v>
      </c>
    </row>
    <row r="26" spans="1:15" x14ac:dyDescent="0.35">
      <c r="A26" t="s">
        <v>36</v>
      </c>
      <c r="B26" t="s">
        <v>11</v>
      </c>
      <c r="C26">
        <v>23</v>
      </c>
      <c r="D26">
        <v>53</v>
      </c>
      <c r="E26">
        <v>3.66</v>
      </c>
      <c r="F26">
        <v>4.08</v>
      </c>
      <c r="G26">
        <v>7.1</v>
      </c>
      <c r="H26">
        <v>7.8</v>
      </c>
      <c r="I26">
        <v>10.7</v>
      </c>
      <c r="J26">
        <v>10.32</v>
      </c>
      <c r="K26">
        <f t="shared" si="0"/>
        <v>0.41999999999999993</v>
      </c>
      <c r="L26">
        <f t="shared" si="3"/>
        <v>0.70000000000000018</v>
      </c>
      <c r="M26">
        <f t="shared" si="2"/>
        <v>-0.37999999999999901</v>
      </c>
    </row>
    <row r="27" spans="1:15" x14ac:dyDescent="0.35">
      <c r="A27" t="s">
        <v>37</v>
      </c>
      <c r="B27" t="s">
        <v>11</v>
      </c>
      <c r="C27">
        <v>25</v>
      </c>
      <c r="D27">
        <v>60</v>
      </c>
      <c r="E27">
        <v>3.17</v>
      </c>
      <c r="F27">
        <v>3.11</v>
      </c>
      <c r="G27">
        <v>6.1</v>
      </c>
      <c r="H27">
        <v>5.0999999999999996</v>
      </c>
      <c r="I27">
        <v>8.9600000000000009</v>
      </c>
      <c r="J27">
        <v>7.75</v>
      </c>
      <c r="K27">
        <f t="shared" si="0"/>
        <v>-6.0000000000000053E-2</v>
      </c>
      <c r="L27">
        <f t="shared" si="3"/>
        <v>-1</v>
      </c>
      <c r="M27">
        <f t="shared" si="2"/>
        <v>-1.2100000000000009</v>
      </c>
    </row>
    <row r="28" spans="1:15" x14ac:dyDescent="0.35">
      <c r="A28" t="s">
        <v>38</v>
      </c>
      <c r="B28" t="s">
        <v>10</v>
      </c>
      <c r="C28">
        <v>26</v>
      </c>
      <c r="D28">
        <v>60</v>
      </c>
      <c r="E28">
        <v>3.65</v>
      </c>
      <c r="F28">
        <v>3.6</v>
      </c>
      <c r="G28">
        <v>6.68</v>
      </c>
      <c r="H28">
        <v>7.05</v>
      </c>
      <c r="I28">
        <v>9.94</v>
      </c>
      <c r="J28">
        <v>9.3800000000000008</v>
      </c>
      <c r="K28">
        <f t="shared" si="0"/>
        <v>-4.9999999999999822E-2</v>
      </c>
      <c r="L28">
        <f t="shared" si="3"/>
        <v>0.37000000000000011</v>
      </c>
      <c r="M28">
        <f t="shared" si="2"/>
        <v>-0.55999999999999872</v>
      </c>
    </row>
    <row r="29" spans="1:15" x14ac:dyDescent="0.35">
      <c r="A29" t="s">
        <v>39</v>
      </c>
      <c r="B29" t="s">
        <v>11</v>
      </c>
      <c r="C29">
        <v>23</v>
      </c>
      <c r="D29">
        <v>68</v>
      </c>
      <c r="E29">
        <v>3.42</v>
      </c>
      <c r="F29">
        <v>3.68</v>
      </c>
      <c r="G29">
        <v>6.8</v>
      </c>
      <c r="H29">
        <v>7</v>
      </c>
      <c r="I29">
        <v>10.14</v>
      </c>
      <c r="J29">
        <v>10.88</v>
      </c>
      <c r="K29">
        <f t="shared" si="0"/>
        <v>0.26000000000000023</v>
      </c>
      <c r="L29">
        <f t="shared" si="3"/>
        <v>0.20000000000000018</v>
      </c>
      <c r="M29">
        <f t="shared" si="2"/>
        <v>0.74000000000000021</v>
      </c>
    </row>
    <row r="30" spans="1:15" x14ac:dyDescent="0.35">
      <c r="A30" t="s">
        <v>40</v>
      </c>
      <c r="B30" t="s">
        <v>10</v>
      </c>
      <c r="C30">
        <v>23</v>
      </c>
      <c r="D30">
        <v>60</v>
      </c>
      <c r="E30">
        <v>3.59</v>
      </c>
      <c r="F30">
        <v>4.7699999999999996</v>
      </c>
      <c r="G30">
        <v>6.93</v>
      </c>
      <c r="H30">
        <v>8.35</v>
      </c>
      <c r="I30">
        <v>9.7899999999999991</v>
      </c>
      <c r="J30">
        <v>11.5</v>
      </c>
      <c r="K30">
        <f t="shared" si="0"/>
        <v>1.1799999999999997</v>
      </c>
      <c r="L30">
        <f t="shared" si="3"/>
        <v>1.42</v>
      </c>
      <c r="M30">
        <f t="shared" si="2"/>
        <v>1.7100000000000009</v>
      </c>
    </row>
    <row r="31" spans="1:15" x14ac:dyDescent="0.35">
      <c r="A31" t="s">
        <v>41</v>
      </c>
      <c r="B31" t="s">
        <v>10</v>
      </c>
      <c r="C31">
        <v>25</v>
      </c>
      <c r="D31">
        <v>56</v>
      </c>
      <c r="E31">
        <v>3.62</v>
      </c>
      <c r="F31">
        <v>3.32</v>
      </c>
      <c r="G31">
        <v>7.14</v>
      </c>
      <c r="H31">
        <v>7.9</v>
      </c>
      <c r="I31">
        <v>10.74</v>
      </c>
      <c r="J31">
        <v>10.32</v>
      </c>
      <c r="K31">
        <f t="shared" si="0"/>
        <v>-0.30000000000000027</v>
      </c>
      <c r="L31">
        <f t="shared" si="3"/>
        <v>0.76000000000000068</v>
      </c>
      <c r="M31">
        <f t="shared" si="2"/>
        <v>-0.41999999999999993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BB7D2-E955-4EC4-9F09-FBC6931771BD}">
  <dimension ref="A1"/>
  <sheetViews>
    <sheetView workbookViewId="0">
      <selection activeCell="R29" sqref="R29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 Brutes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Van Caenegem</dc:creator>
  <cp:lastModifiedBy>Elise Van Caenegem</cp:lastModifiedBy>
  <dcterms:created xsi:type="dcterms:W3CDTF">2025-04-16T09:48:30Z</dcterms:created>
  <dcterms:modified xsi:type="dcterms:W3CDTF">2025-05-12T12:09:54Z</dcterms:modified>
</cp:coreProperties>
</file>